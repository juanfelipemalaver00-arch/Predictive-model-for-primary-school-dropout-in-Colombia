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7904c9bc0f034a1/Escritorio/UNIVERSIDAD/Maestria Business A/Proyecto Empresarial/Codigos/"/>
    </mc:Choice>
  </mc:AlternateContent>
  <xr:revisionPtr revIDLastSave="1" documentId="11_DE45D6D4C585B902A791B4DC239F6205A17A49B1" xr6:coauthVersionLast="47" xr6:coauthVersionMax="47" xr10:uidLastSave="{1F84D7AC-AD2B-46A5-A729-CEAEDDB88AC0}"/>
  <bookViews>
    <workbookView xWindow="-108" yWindow="-108" windowWidth="23256" windowHeight="12456" xr2:uid="{00000000-000D-0000-FFFF-FFFF00000000}"/>
  </bookViews>
  <sheets>
    <sheet name="Diccionario_Variables" sheetId="1" r:id="rId1"/>
    <sheet name="Resumen_Dominios" sheetId="2" r:id="rId2"/>
    <sheet name="Fuentes_y_Enlaces" sheetId="3" r:id="rId3"/>
  </sheets>
  <definedNames>
    <definedName name="_xlnm._FilterDatabase" localSheetId="0" hidden="1">Diccionario_Variables!$A$4:$G$73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B13" i="2"/>
  <c r="C12" i="2"/>
  <c r="C11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<sst xmlns="http://schemas.openxmlformats.org/spreadsheetml/2006/main" count="489" uniqueCount="224">
  <si>
    <t>DICCIONARIO DE DATOS — PANEL MAESTRO DE SEDES EDUCATIVAS</t>
  </si>
  <si>
    <t>Estructura completa de las 70 variables consolidadas en el dataset multifuente (2018–2023)</t>
  </si>
  <si>
    <t>ID</t>
  </si>
  <si>
    <t>Nombre Variable</t>
  </si>
  <si>
    <t>Dominio / Categoria</t>
  </si>
  <si>
    <t>Tipo de Dato</t>
  </si>
  <si>
    <t>Nivel Agregación</t>
  </si>
  <si>
    <t>Fuente Principal</t>
  </si>
  <si>
    <t>Descripción Detallada</t>
  </si>
  <si>
    <t>SEDE_CODIGO</t>
  </si>
  <si>
    <t>1. Identificación y Geografía</t>
  </si>
  <si>
    <t>Texto / String</t>
  </si>
  <si>
    <t>Sede</t>
  </si>
  <si>
    <t>DANE (C-600)</t>
  </si>
  <si>
    <t>Código único de 12 dígitos que identifica la sede educativa.</t>
  </si>
  <si>
    <t>PERIODO_ANIO</t>
  </si>
  <si>
    <t>Entero</t>
  </si>
  <si>
    <t>Año</t>
  </si>
  <si>
    <t>DANE / Mineducación</t>
  </si>
  <si>
    <t>Año correspondiente al registro de la observación (2018–2023).</t>
  </si>
  <si>
    <t>SAMPLE</t>
  </si>
  <si>
    <t>Categórico</t>
  </si>
  <si>
    <t>Observación</t>
  </si>
  <si>
    <t>Definición Analítica</t>
  </si>
  <si>
    <t>Marca de partición del conjunto de datos (TRAIN para entrenamiento, TEST para evaluación).</t>
  </si>
  <si>
    <t>COD_MPIO_DANE</t>
  </si>
  <si>
    <t>Municipio</t>
  </si>
  <si>
    <t>DANE (DIVIPOLA)</t>
  </si>
  <si>
    <t>Código DANE del municipio (5 dígitos).</t>
  </si>
  <si>
    <t>COD_DPTO_DANE</t>
  </si>
  <si>
    <t>Departamento</t>
  </si>
  <si>
    <t>Código DANE del departamento (2 dígitos).</t>
  </si>
  <si>
    <t>REGION_DANE</t>
  </si>
  <si>
    <t>Nombre del departamento o región administrativa según clasificación DANE.</t>
  </si>
  <si>
    <t>TASA_DESERCION_MPIO</t>
  </si>
  <si>
    <t>2. Tasas e Indicadores Municipales</t>
  </si>
  <si>
    <t>Flotante (0-1)</t>
  </si>
  <si>
    <t>Mineducación (SINEB)</t>
  </si>
  <si>
    <t>Tasa de deserción intra-anual registrada en el municipio para el año t.</t>
  </si>
  <si>
    <t>TASA_REPITENCIA_MPIO</t>
  </si>
  <si>
    <t>Tasa de repitencia académica en el municipio para el año t.</t>
  </si>
  <si>
    <t>DESERCION_LAG1</t>
  </si>
  <si>
    <t>Calculada (SINEB)</t>
  </si>
  <si>
    <t>Tasa de deserción municipal rezagada 1 año (t-1).</t>
  </si>
  <si>
    <t>REPITENCIA_LAG1</t>
  </si>
  <si>
    <t>Tasa de repitencia municipal rezagada 1 año (t-1).</t>
  </si>
  <si>
    <t>DESERCION_MA2_LAG</t>
  </si>
  <si>
    <t>Media móvil de 2 años de la tasa de deserción municipal rezagada.</t>
  </si>
  <si>
    <t>MATRICULA_TOTAL</t>
  </si>
  <si>
    <t>3. Dinámica de Matrícula</t>
  </si>
  <si>
    <t>Número total de estudiantes matriculados en la sede educativa en el año t.</t>
  </si>
  <si>
    <t>FLAG_PANDEMIA</t>
  </si>
  <si>
    <t>Binario (0/1)</t>
  </si>
  <si>
    <t>Variable indicadora del choque de la pandemia de COVID-19 (1 para 2020, 0 en otros años).</t>
  </si>
  <si>
    <t>MATRICULA_DELTA</t>
  </si>
  <si>
    <t>Calculada (C-600)</t>
  </si>
  <si>
    <t>Cambio absoluto en la matrícula total respecto al año anterior (Matrícula_t - Matrícula_t-1).</t>
  </si>
  <si>
    <t>MATRICULA_PCT_CAMBIO</t>
  </si>
  <si>
    <t>Flotante (%)</t>
  </si>
  <si>
    <t>Variación porcentual de la matrícula respecto al año anterior.</t>
  </si>
  <si>
    <t>FLAG_DECLIVE_MATRICULA</t>
  </si>
  <si>
    <t>Indicador binario de caída crítica o significativa en la matrícula total de la sede.</t>
  </si>
  <si>
    <t>DESPLAZADOS_H</t>
  </si>
  <si>
    <t>4. Caracterización Poblacional</t>
  </si>
  <si>
    <t>Estudiantes hombres en condición de víctima de desplazamiento forzado.</t>
  </si>
  <si>
    <t>DESPLAZADOS_M</t>
  </si>
  <si>
    <t>Estudiantes mujeres en condición de víctima de desplazamiento forzado.</t>
  </si>
  <si>
    <t>DESPLAZADOS_TOTAL</t>
  </si>
  <si>
    <t>Total de estudiantes víctimas de desplazamiento forzado (DESPLAZADOS_H + DESPLAZADOS_M).</t>
  </si>
  <si>
    <t>LIMITACION_H</t>
  </si>
  <si>
    <t>Estudiantes hombres reportados con alguna discapacidad o limitación física/cognitiva.</t>
  </si>
  <si>
    <t>LIMITACION_M</t>
  </si>
  <si>
    <t>Estudiantes mujeres reportadas con alguna discapacidad o limitación.</t>
  </si>
  <si>
    <t>LIMITACION_TOTAL</t>
  </si>
  <si>
    <t>Total de estudiantes con discapacidad o limitación (LIMITACION_H + LIMITACION_M).</t>
  </si>
  <si>
    <t>TRADICIONAL_H</t>
  </si>
  <si>
    <t>Estudiantes hombres matriculados en modelos educativos tradicionales.</t>
  </si>
  <si>
    <t>TRADICIONAL_M</t>
  </si>
  <si>
    <t>Estudiantes mujeres matriculadas en modelos educativos tradicionales.</t>
  </si>
  <si>
    <t>TRADICIONAL_TOTAL</t>
  </si>
  <si>
    <t>Total de estudiantes en modelos educativos tradicionales.</t>
  </si>
  <si>
    <t>FLEXIBLE_H</t>
  </si>
  <si>
    <t>Estudiantes hombres en modelos educativos flexibles (ej. Aceleración del Aprendizaje).</t>
  </si>
  <si>
    <t>FLEXIBLE_M</t>
  </si>
  <si>
    <t>Estudiantes mujeres en modelos educativos flexibles.</t>
  </si>
  <si>
    <t>FLEXIBLE_TOTAL</t>
  </si>
  <si>
    <t>Total de estudiantes en modelos educativos flexibles.</t>
  </si>
  <si>
    <t>ETNIA_H</t>
  </si>
  <si>
    <t>Estudiantes hombres pertenecientes a grupos étnicos (indígenas, afrocolombianos, etc.).</t>
  </si>
  <si>
    <t>ETNIA_M</t>
  </si>
  <si>
    <t>Estudiantes mujeres pertenecientes a grupos étnicos.</t>
  </si>
  <si>
    <t>ETNIA_TOTAL</t>
  </si>
  <si>
    <t>Total de estudiantes pertenecientes a grupos étnicos.</t>
  </si>
  <si>
    <t>PROP_DESPLAZADOS</t>
  </si>
  <si>
    <t>5. Proporciones e Índices Sintéticos</t>
  </si>
  <si>
    <t>Proporción de la matrícula total en condición de desplazamiento.</t>
  </si>
  <si>
    <t>PROP_LIMITACION</t>
  </si>
  <si>
    <t>Proporción de la matrícula total con discapacidad/limitación.</t>
  </si>
  <si>
    <t>PROP_TRADICIONAL</t>
  </si>
  <si>
    <t>Proporción de la matrícula total en modelos tradicionales.</t>
  </si>
  <si>
    <t>PROP_FLEXIBLE</t>
  </si>
  <si>
    <t>Proporción de la matrícula total en modelos flexibles.</t>
  </si>
  <si>
    <t>PROP_ETNIA</t>
  </si>
  <si>
    <t>Proporción de la matrícula total perteneciente a grupos étnicos.</t>
  </si>
  <si>
    <t>IDX_FEMINIDAD</t>
  </si>
  <si>
    <t>Proporción de mujeres en la matrícula total de la sede.</t>
  </si>
  <si>
    <t>INDICE_VULNERABILIDAD</t>
  </si>
  <si>
    <t>Índice sintético compuesto que mide la vulnerabilidad demográfica de la sede.</t>
  </si>
  <si>
    <t>ICFES_CANT_ESTUDIANTES</t>
  </si>
  <si>
    <t>6. ICFES Saber 11</t>
  </si>
  <si>
    <t>DataIcfes (Saber 11)</t>
  </si>
  <si>
    <t>Cantidad de estudiantes de la sede que presentaron el examen Saber 11 en el año.</t>
  </si>
  <si>
    <t>ICFES_PROM_PUNT_GLOBAL</t>
  </si>
  <si>
    <t>Flotante (0-500)</t>
  </si>
  <si>
    <t>Promedio del Puntaje Global en Saber 11.</t>
  </si>
  <si>
    <t>ICFES_PROM_LECTURA</t>
  </si>
  <si>
    <t>Flotante (0-100)</t>
  </si>
  <si>
    <t>Promedio de la prueba de Lectura Crítica.</t>
  </si>
  <si>
    <t>ICFES_PROM_MATEMATICAS</t>
  </si>
  <si>
    <t>Promedio de la prueba de Matemáticas.</t>
  </si>
  <si>
    <t>ICFES_PROM_CIENCIAS</t>
  </si>
  <si>
    <t>Promedio de la prueba de Ciencias Naturales.</t>
  </si>
  <si>
    <t>ICFES_PROM_SOCIALES</t>
  </si>
  <si>
    <t>Promedio de la prueba de Sociales y Ciudadanas.</t>
  </si>
  <si>
    <t>ICFES_PROM_INGLES</t>
  </si>
  <si>
    <t>Promedio de la prueba de Inglés.</t>
  </si>
  <si>
    <t>ICFES_PROM_INSE</t>
  </si>
  <si>
    <t>Flotante</t>
  </si>
  <si>
    <t>Promedio del Índice Socioeconómico del Estudiante (INSE) calculado por ICFES.</t>
  </si>
  <si>
    <t>ICFES_PCT_ESTRATO_1_2</t>
  </si>
  <si>
    <t>Porcentaje de estudiantes evaluados pertenecientes a Estrato 1 o 2.</t>
  </si>
  <si>
    <t>ICFES_PCT_INTERNET</t>
  </si>
  <si>
    <t>Porcentaje de estudiantes evaluados que disponen de conexión a Internet.</t>
  </si>
  <si>
    <t>ICFES_PCT_COMPUTADOR</t>
  </si>
  <si>
    <t>Porcentaje de estudiantes evaluados que cuentan con computador.</t>
  </si>
  <si>
    <t>ICFES_PCT_DESPLAZACOLEGIO</t>
  </si>
  <si>
    <t>Porcentaje de estudiantes con desplazamiento prolongado hacia la sede.</t>
  </si>
  <si>
    <t>ICFES_PCT_HORASTRABNOREMU</t>
  </si>
  <si>
    <t>Porcentaje de estudiantes que dedican horas semanales a trabajo no remunerado.</t>
  </si>
  <si>
    <t>IPM_INASISTENCIA_ESCOLAR</t>
  </si>
  <si>
    <t>7. Pobreza Multidimensional (IPM)</t>
  </si>
  <si>
    <t>IPM (DANE / Terridata)</t>
  </si>
  <si>
    <t>Proporción de personas privadas por inasistencia escolar en el municipio.</t>
  </si>
  <si>
    <t>IPM_REZAGO_ESCOLAR</t>
  </si>
  <si>
    <t>Proporción de personas privadas por rezago escolar en el municipio.</t>
  </si>
  <si>
    <t>IPM_TRABAJO_INFANTIL</t>
  </si>
  <si>
    <t>Proporción de personas privadas por presencia de trabajo infantil.</t>
  </si>
  <si>
    <t>IPM_HACINAMIENTO</t>
  </si>
  <si>
    <t>Proporción de personas privadas por hacinamiento crítico en las viviendas.</t>
  </si>
  <si>
    <t>IPM_EMPLEO_FORMAL</t>
  </si>
  <si>
    <t>Proporción de personas privadas por informalidad o empleo precario en hogares.</t>
  </si>
  <si>
    <t>IPM_ALFABETISMO</t>
  </si>
  <si>
    <t>Proporción de personas privadas por analfabetismo.</t>
  </si>
  <si>
    <t>IPM_LOGRO_EDUCATIVO</t>
  </si>
  <si>
    <t>Proporción de personas privadas por bajo logro educativo en el hogar.</t>
  </si>
  <si>
    <t>IPM_ASEGURAMIENTO_SALUD</t>
  </si>
  <si>
    <t>Proporción de personas sin aseguramiento en salud.</t>
  </si>
  <si>
    <t>IPM_BARRERAS_ACCESO_SALUD</t>
  </si>
  <si>
    <t>Proporción de personas con barreras de acceso a servicios de salud.</t>
  </si>
  <si>
    <t>IPM_PAREDES</t>
  </si>
  <si>
    <t>Proporción de personas habitando viviendas con paredes exteriores inadecuadas.</t>
  </si>
  <si>
    <t>IPM_PISOS</t>
  </si>
  <si>
    <t>Proporción de personas habitando viviendas con pisos inadecuados.</t>
  </si>
  <si>
    <t>IPM_ALCANTARILLADO</t>
  </si>
  <si>
    <t>Proporción de personas sin servicio público de alcantarillado.</t>
  </si>
  <si>
    <t>IPM_ACUEDUCTO</t>
  </si>
  <si>
    <t>Proporción de personas sin acceso a servicio de agua potable/acueducto.</t>
  </si>
  <si>
    <t>IPM_DESEMPLEO_LARGA_DURACION</t>
  </si>
  <si>
    <t>Proporción de personas en situación de desempleo de larga duración.</t>
  </si>
  <si>
    <t>IPM_ATENCION_INTEGRAL</t>
  </si>
  <si>
    <t>Proporción de niños sin atención integral a la primera infancia.</t>
  </si>
  <si>
    <t>IPM_IPM</t>
  </si>
  <si>
    <t>Índice de Pobreza Multidimensional (IPM) global del municipio (0-1).</t>
  </si>
  <si>
    <t>FLAG_PDET</t>
  </si>
  <si>
    <t>8. Banderas Territoriales y Conflicto</t>
  </si>
  <si>
    <t>FINAGRO / ART</t>
  </si>
  <si>
    <t>Indicador si el municipio hace parte de los Programas de Desarrollo con Enfoque Territorial.</t>
  </si>
  <si>
    <t>FLAG_ZOMAC</t>
  </si>
  <si>
    <t>FINAGRO / MinHacienda</t>
  </si>
  <si>
    <t>Indicador si el municipio está catalogado como Zona Más Afectada por el Conflicto Armado.</t>
  </si>
  <si>
    <t>RESUMEN DE VARIABLES POR DOMINIO TEMÁTICO</t>
  </si>
  <si>
    <t>Distribución y nivel de agregación de las variables del panel maestro</t>
  </si>
  <si>
    <t>Dominio Temático</t>
  </si>
  <si>
    <t>Cantidad Variables</t>
  </si>
  <si>
    <t>% del Total</t>
  </si>
  <si>
    <t>Nivel Dominante</t>
  </si>
  <si>
    <t>Sede / Municipio / Dpto</t>
  </si>
  <si>
    <t>DANE DIVIPOLA</t>
  </si>
  <si>
    <t>DANE (C-600 Microdatos)</t>
  </si>
  <si>
    <t>DANE / Terridata</t>
  </si>
  <si>
    <t>FINAGRO (PDET/ZOMAC)</t>
  </si>
  <si>
    <t>TOTAL VARIABLES</t>
  </si>
  <si>
    <t>FUENTES DE INFORMACIÓN Y ENLACES OFICIALES</t>
  </si>
  <si>
    <t>Repositorios de microdatos y portales institucionales de Colombia</t>
  </si>
  <si>
    <t>Fuente / Dataset</t>
  </si>
  <si>
    <t>Entidad Responsable</t>
  </si>
  <si>
    <t>URL / Enlace Oficial</t>
  </si>
  <si>
    <t>Nota de Disponibilidad / Detalle</t>
  </si>
  <si>
    <t>DANE C-600 (Educación Formal)</t>
  </si>
  <si>
    <t>DANE</t>
  </si>
  <si>
    <t>https://microdatos.dane.gov.co/index.php/catalog/834/get-microdata</t>
  </si>
  <si>
    <t>Microdatos agregados a nivel de sede educativa.</t>
  </si>
  <si>
    <t>ICFES</t>
  </si>
  <si>
    <t>https://bitly.ws/3f3YC</t>
  </si>
  <si>
    <t>Procesado y resumido a nivel de sede. A la fecha (sept 2026) no hay datos publicados de 2024.</t>
  </si>
  <si>
    <t>Tasa de Deserción y Repitencia</t>
  </si>
  <si>
    <t>http://bi.mineducacion.gov.co:8380/eportal/web/sineb/22.-tasa-de-desercion-intra-anual</t>
  </si>
  <si>
    <t>A la fecha (sept 2026) no hay datos publicados de 2024.</t>
  </si>
  <si>
    <t>Municipios PDET</t>
  </si>
  <si>
    <t>ART / FINAGRO</t>
  </si>
  <si>
    <t>https://www.finagro.com.co/sites/default/files/documents/2022-02/ANEXO%20MUNICIPIOS%20PDET.xlsx</t>
  </si>
  <si>
    <t>Anexo oficial de municipios PDET.</t>
  </si>
  <si>
    <t>Municipios ZOMAC</t>
  </si>
  <si>
    <t>MinHacienda / FINAGRO</t>
  </si>
  <si>
    <t>https://www.finagro.com.co/sites/default/files/documents/2022-02/ANEXO%20MUNICIPIOS%20ZOMAC.xlsx</t>
  </si>
  <si>
    <t>Anexo oficial de municipios ZOMAC.</t>
  </si>
  <si>
    <t>Terridata / IPM 2024</t>
  </si>
  <si>
    <t>DNP / DANE</t>
  </si>
  <si>
    <t>https://www.datos.gov.co/dataset/Indice-de-Pobreza-Multidimensional-IPM-2024/ntk3-fdqa/about_data</t>
  </si>
  <si>
    <t>Dimensiones e indicador global del IPM municipal.</t>
  </si>
  <si>
    <t>DIVIPOLA</t>
  </si>
  <si>
    <t>DANE / Datos Abiertos</t>
  </si>
  <si>
    <t>https://www.datos.gov.co/api/views/gdxc-w37w/rows.csv?accessType=DOWNLOAD</t>
  </si>
  <si>
    <t>Codificación estandarizada de municipios y departamentos.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</si>
</sst>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E0E0E0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3" fontId="5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B1" workbookViewId="0">
      <pane ySplit="4" topLeftCell="A5" activePane="bottomLeft" state="frozen"/>
      <selection pane="bottomLeft" activeCell="A56" sqref="A56:XFD56"/>
    </sheetView>
  </sheetViews>
  <sheetFormatPr defaultRowHeight="14.4" x14ac:dyDescent="0.3"/>
  <cols>
    <col min="1" max="1" width="8" customWidth="1"/>
    <col min="2" max="2" width="30" customWidth="1"/>
    <col min="3" max="3" width="35" customWidth="1"/>
    <col min="4" max="5" width="18" customWidth="1"/>
    <col min="6" max="6" width="25" customWidth="1"/>
    <col min="7" max="7" width="70" customWidth="1"/>
  </cols>
  <sheetData>
    <row r="1" spans="1:7" ht="28.05" customHeight="1" x14ac:dyDescent="0.3">
      <c r="A1" s="23" t="s">
        <v>0</v>
      </c>
      <c r="B1" s="22"/>
      <c r="C1" s="22"/>
      <c r="D1" s="22"/>
      <c r="E1" s="22"/>
      <c r="F1" s="22"/>
      <c r="G1" s="22"/>
    </row>
    <row r="2" spans="1:7" ht="18" customHeight="1" x14ac:dyDescent="0.3">
      <c r="A2" s="21" t="s">
        <v>1</v>
      </c>
      <c r="B2" s="22"/>
      <c r="C2" s="22"/>
      <c r="D2" s="22"/>
      <c r="E2" s="22"/>
      <c r="F2" s="22"/>
      <c r="G2" s="22"/>
    </row>
    <row r="4" spans="1:7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  <c r="G4" s="2" t="s">
        <v>8</v>
      </c>
    </row>
    <row r="5" spans="1:7" ht="19.95" customHeight="1" x14ac:dyDescent="0.3">
      <c r="A5" s="3">
        <v>1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7" ht="19.95" customHeight="1" x14ac:dyDescent="0.3">
      <c r="A6" s="6">
        <v>2</v>
      </c>
      <c r="B6" s="7" t="s">
        <v>15</v>
      </c>
      <c r="C6" s="8" t="s">
        <v>10</v>
      </c>
      <c r="D6" s="8" t="s">
        <v>16</v>
      </c>
      <c r="E6" s="8" t="s">
        <v>17</v>
      </c>
      <c r="F6" s="8" t="s">
        <v>18</v>
      </c>
      <c r="G6" s="8" t="s">
        <v>19</v>
      </c>
    </row>
    <row r="7" spans="1:7" ht="19.95" customHeight="1" x14ac:dyDescent="0.3">
      <c r="A7" s="3">
        <v>3</v>
      </c>
      <c r="B7" s="4" t="s">
        <v>20</v>
      </c>
      <c r="C7" s="5" t="s">
        <v>10</v>
      </c>
      <c r="D7" s="5" t="s">
        <v>21</v>
      </c>
      <c r="E7" s="5" t="s">
        <v>22</v>
      </c>
      <c r="F7" s="5" t="s">
        <v>23</v>
      </c>
      <c r="G7" s="5" t="s">
        <v>24</v>
      </c>
    </row>
    <row r="8" spans="1:7" ht="19.95" customHeight="1" x14ac:dyDescent="0.3">
      <c r="A8" s="6">
        <v>4</v>
      </c>
      <c r="B8" s="7" t="s">
        <v>25</v>
      </c>
      <c r="C8" s="8" t="s">
        <v>10</v>
      </c>
      <c r="D8" s="8" t="s">
        <v>11</v>
      </c>
      <c r="E8" s="8" t="s">
        <v>26</v>
      </c>
      <c r="F8" s="8" t="s">
        <v>27</v>
      </c>
      <c r="G8" s="8" t="s">
        <v>28</v>
      </c>
    </row>
    <row r="9" spans="1:7" ht="19.95" customHeight="1" x14ac:dyDescent="0.3">
      <c r="A9" s="3">
        <v>5</v>
      </c>
      <c r="B9" s="4" t="s">
        <v>29</v>
      </c>
      <c r="C9" s="5" t="s">
        <v>10</v>
      </c>
      <c r="D9" s="5" t="s">
        <v>11</v>
      </c>
      <c r="E9" s="5" t="s">
        <v>30</v>
      </c>
      <c r="F9" s="5" t="s">
        <v>27</v>
      </c>
      <c r="G9" s="5" t="s">
        <v>31</v>
      </c>
    </row>
    <row r="10" spans="1:7" ht="19.95" customHeight="1" x14ac:dyDescent="0.3">
      <c r="A10" s="6">
        <v>6</v>
      </c>
      <c r="B10" s="7" t="s">
        <v>32</v>
      </c>
      <c r="C10" s="8" t="s">
        <v>10</v>
      </c>
      <c r="D10" s="8" t="s">
        <v>11</v>
      </c>
      <c r="E10" s="8" t="s">
        <v>30</v>
      </c>
      <c r="F10" s="8" t="s">
        <v>27</v>
      </c>
      <c r="G10" s="8" t="s">
        <v>33</v>
      </c>
    </row>
    <row r="11" spans="1:7" ht="19.95" customHeight="1" x14ac:dyDescent="0.3">
      <c r="A11" s="3">
        <v>7</v>
      </c>
      <c r="B11" s="4" t="s">
        <v>34</v>
      </c>
      <c r="C11" s="5" t="s">
        <v>35</v>
      </c>
      <c r="D11" s="5" t="s">
        <v>36</v>
      </c>
      <c r="E11" s="5" t="s">
        <v>26</v>
      </c>
      <c r="F11" s="5" t="s">
        <v>37</v>
      </c>
      <c r="G11" s="5" t="s">
        <v>38</v>
      </c>
    </row>
    <row r="12" spans="1:7" ht="19.95" customHeight="1" x14ac:dyDescent="0.3">
      <c r="A12" s="6">
        <v>8</v>
      </c>
      <c r="B12" s="7" t="s">
        <v>39</v>
      </c>
      <c r="C12" s="8" t="s">
        <v>35</v>
      </c>
      <c r="D12" s="8" t="s">
        <v>36</v>
      </c>
      <c r="E12" s="8" t="s">
        <v>26</v>
      </c>
      <c r="F12" s="8" t="s">
        <v>37</v>
      </c>
      <c r="G12" s="8" t="s">
        <v>40</v>
      </c>
    </row>
    <row r="13" spans="1:7" ht="19.95" customHeight="1" x14ac:dyDescent="0.3">
      <c r="A13" s="3">
        <v>9</v>
      </c>
      <c r="B13" s="4" t="s">
        <v>41</v>
      </c>
      <c r="C13" s="5" t="s">
        <v>35</v>
      </c>
      <c r="D13" s="5" t="s">
        <v>36</v>
      </c>
      <c r="E13" s="5" t="s">
        <v>26</v>
      </c>
      <c r="F13" s="5" t="s">
        <v>42</v>
      </c>
      <c r="G13" s="5" t="s">
        <v>43</v>
      </c>
    </row>
    <row r="14" spans="1:7" ht="19.95" customHeight="1" x14ac:dyDescent="0.3">
      <c r="A14" s="6">
        <v>10</v>
      </c>
      <c r="B14" s="7" t="s">
        <v>44</v>
      </c>
      <c r="C14" s="8" t="s">
        <v>35</v>
      </c>
      <c r="D14" s="8" t="s">
        <v>36</v>
      </c>
      <c r="E14" s="8" t="s">
        <v>26</v>
      </c>
      <c r="F14" s="8" t="s">
        <v>42</v>
      </c>
      <c r="G14" s="8" t="s">
        <v>45</v>
      </c>
    </row>
    <row r="15" spans="1:7" ht="19.95" customHeight="1" x14ac:dyDescent="0.3">
      <c r="A15" s="3">
        <v>11</v>
      </c>
      <c r="B15" s="4" t="s">
        <v>46</v>
      </c>
      <c r="C15" s="5" t="s">
        <v>35</v>
      </c>
      <c r="D15" s="5" t="s">
        <v>36</v>
      </c>
      <c r="E15" s="5" t="s">
        <v>26</v>
      </c>
      <c r="F15" s="5" t="s">
        <v>42</v>
      </c>
      <c r="G15" s="5" t="s">
        <v>47</v>
      </c>
    </row>
    <row r="16" spans="1:7" ht="19.95" customHeight="1" x14ac:dyDescent="0.3">
      <c r="A16" s="6">
        <v>12</v>
      </c>
      <c r="B16" s="7" t="s">
        <v>48</v>
      </c>
      <c r="C16" s="8" t="s">
        <v>49</v>
      </c>
      <c r="D16" s="8" t="s">
        <v>16</v>
      </c>
      <c r="E16" s="8" t="s">
        <v>12</v>
      </c>
      <c r="F16" s="8" t="s">
        <v>13</v>
      </c>
      <c r="G16" s="8" t="s">
        <v>50</v>
      </c>
    </row>
    <row r="17" spans="1:7" ht="19.95" customHeight="1" x14ac:dyDescent="0.3">
      <c r="A17" s="3">
        <v>13</v>
      </c>
      <c r="B17" s="4" t="s">
        <v>51</v>
      </c>
      <c r="C17" s="5" t="s">
        <v>49</v>
      </c>
      <c r="D17" s="5" t="s">
        <v>52</v>
      </c>
      <c r="E17" s="5" t="s">
        <v>17</v>
      </c>
      <c r="F17" s="5" t="s">
        <v>23</v>
      </c>
      <c r="G17" s="5" t="s">
        <v>53</v>
      </c>
    </row>
    <row r="18" spans="1:7" ht="19.95" customHeight="1" x14ac:dyDescent="0.3">
      <c r="A18" s="6">
        <v>14</v>
      </c>
      <c r="B18" s="7" t="s">
        <v>54</v>
      </c>
      <c r="C18" s="8" t="s">
        <v>49</v>
      </c>
      <c r="D18" s="8" t="s">
        <v>16</v>
      </c>
      <c r="E18" s="8" t="s">
        <v>12</v>
      </c>
      <c r="F18" s="8" t="s">
        <v>55</v>
      </c>
      <c r="G18" s="8" t="s">
        <v>56</v>
      </c>
    </row>
    <row r="19" spans="1:7" ht="19.95" customHeight="1" x14ac:dyDescent="0.3">
      <c r="A19" s="3">
        <v>15</v>
      </c>
      <c r="B19" s="4" t="s">
        <v>57</v>
      </c>
      <c r="C19" s="5" t="s">
        <v>49</v>
      </c>
      <c r="D19" s="5" t="s">
        <v>58</v>
      </c>
      <c r="E19" s="5" t="s">
        <v>12</v>
      </c>
      <c r="F19" s="5" t="s">
        <v>55</v>
      </c>
      <c r="G19" s="5" t="s">
        <v>59</v>
      </c>
    </row>
    <row r="20" spans="1:7" ht="19.95" customHeight="1" x14ac:dyDescent="0.3">
      <c r="A20" s="6">
        <v>16</v>
      </c>
      <c r="B20" s="7" t="s">
        <v>60</v>
      </c>
      <c r="C20" s="8" t="s">
        <v>49</v>
      </c>
      <c r="D20" s="8" t="s">
        <v>52</v>
      </c>
      <c r="E20" s="8" t="s">
        <v>12</v>
      </c>
      <c r="F20" s="8" t="s">
        <v>55</v>
      </c>
      <c r="G20" s="8" t="s">
        <v>61</v>
      </c>
    </row>
    <row r="21" spans="1:7" ht="19.95" customHeight="1" x14ac:dyDescent="0.3">
      <c r="A21" s="3">
        <v>17</v>
      </c>
      <c r="B21" s="4" t="s">
        <v>62</v>
      </c>
      <c r="C21" s="5" t="s">
        <v>63</v>
      </c>
      <c r="D21" s="5" t="s">
        <v>16</v>
      </c>
      <c r="E21" s="5" t="s">
        <v>12</v>
      </c>
      <c r="F21" s="5" t="s">
        <v>13</v>
      </c>
      <c r="G21" s="5" t="s">
        <v>64</v>
      </c>
    </row>
    <row r="22" spans="1:7" ht="19.95" customHeight="1" x14ac:dyDescent="0.3">
      <c r="A22" s="6">
        <v>18</v>
      </c>
      <c r="B22" s="7" t="s">
        <v>65</v>
      </c>
      <c r="C22" s="8" t="s">
        <v>63</v>
      </c>
      <c r="D22" s="8" t="s">
        <v>16</v>
      </c>
      <c r="E22" s="8" t="s">
        <v>12</v>
      </c>
      <c r="F22" s="8" t="s">
        <v>13</v>
      </c>
      <c r="G22" s="8" t="s">
        <v>66</v>
      </c>
    </row>
    <row r="23" spans="1:7" ht="19.95" customHeight="1" x14ac:dyDescent="0.3">
      <c r="A23" s="3">
        <v>19</v>
      </c>
      <c r="B23" s="4" t="s">
        <v>67</v>
      </c>
      <c r="C23" s="5" t="s">
        <v>63</v>
      </c>
      <c r="D23" s="5" t="s">
        <v>16</v>
      </c>
      <c r="E23" s="5" t="s">
        <v>12</v>
      </c>
      <c r="F23" s="5" t="s">
        <v>13</v>
      </c>
      <c r="G23" s="5" t="s">
        <v>68</v>
      </c>
    </row>
    <row r="24" spans="1:7" ht="19.95" customHeight="1" x14ac:dyDescent="0.3">
      <c r="A24" s="6">
        <v>20</v>
      </c>
      <c r="B24" s="7" t="s">
        <v>69</v>
      </c>
      <c r="C24" s="8" t="s">
        <v>63</v>
      </c>
      <c r="D24" s="8" t="s">
        <v>16</v>
      </c>
      <c r="E24" s="8" t="s">
        <v>12</v>
      </c>
      <c r="F24" s="8" t="s">
        <v>13</v>
      </c>
      <c r="G24" s="8" t="s">
        <v>70</v>
      </c>
    </row>
    <row r="25" spans="1:7" ht="19.95" customHeight="1" x14ac:dyDescent="0.3">
      <c r="A25" s="3">
        <v>21</v>
      </c>
      <c r="B25" s="4" t="s">
        <v>71</v>
      </c>
      <c r="C25" s="5" t="s">
        <v>63</v>
      </c>
      <c r="D25" s="5" t="s">
        <v>16</v>
      </c>
      <c r="E25" s="5" t="s">
        <v>12</v>
      </c>
      <c r="F25" s="5" t="s">
        <v>13</v>
      </c>
      <c r="G25" s="5" t="s">
        <v>72</v>
      </c>
    </row>
    <row r="26" spans="1:7" ht="19.95" customHeight="1" x14ac:dyDescent="0.3">
      <c r="A26" s="6">
        <v>22</v>
      </c>
      <c r="B26" s="7" t="s">
        <v>73</v>
      </c>
      <c r="C26" s="8" t="s">
        <v>63</v>
      </c>
      <c r="D26" s="8" t="s">
        <v>16</v>
      </c>
      <c r="E26" s="8" t="s">
        <v>12</v>
      </c>
      <c r="F26" s="8" t="s">
        <v>13</v>
      </c>
      <c r="G26" s="8" t="s">
        <v>74</v>
      </c>
    </row>
    <row r="27" spans="1:7" ht="19.95" customHeight="1" x14ac:dyDescent="0.3">
      <c r="A27" s="3">
        <v>23</v>
      </c>
      <c r="B27" s="4" t="s">
        <v>75</v>
      </c>
      <c r="C27" s="5" t="s">
        <v>63</v>
      </c>
      <c r="D27" s="5" t="s">
        <v>16</v>
      </c>
      <c r="E27" s="5" t="s">
        <v>12</v>
      </c>
      <c r="F27" s="5" t="s">
        <v>13</v>
      </c>
      <c r="G27" s="5" t="s">
        <v>76</v>
      </c>
    </row>
    <row r="28" spans="1:7" ht="19.95" customHeight="1" x14ac:dyDescent="0.3">
      <c r="A28" s="6">
        <v>24</v>
      </c>
      <c r="B28" s="7" t="s">
        <v>77</v>
      </c>
      <c r="C28" s="8" t="s">
        <v>63</v>
      </c>
      <c r="D28" s="8" t="s">
        <v>16</v>
      </c>
      <c r="E28" s="8" t="s">
        <v>12</v>
      </c>
      <c r="F28" s="8" t="s">
        <v>13</v>
      </c>
      <c r="G28" s="8" t="s">
        <v>78</v>
      </c>
    </row>
    <row r="29" spans="1:7" ht="19.95" customHeight="1" x14ac:dyDescent="0.3">
      <c r="A29" s="3">
        <v>25</v>
      </c>
      <c r="B29" s="4" t="s">
        <v>79</v>
      </c>
      <c r="C29" s="5" t="s">
        <v>63</v>
      </c>
      <c r="D29" s="5" t="s">
        <v>16</v>
      </c>
      <c r="E29" s="5" t="s">
        <v>12</v>
      </c>
      <c r="F29" s="5" t="s">
        <v>13</v>
      </c>
      <c r="G29" s="5" t="s">
        <v>80</v>
      </c>
    </row>
    <row r="30" spans="1:7" ht="19.95" customHeight="1" x14ac:dyDescent="0.3">
      <c r="A30" s="6">
        <v>26</v>
      </c>
      <c r="B30" s="7" t="s">
        <v>81</v>
      </c>
      <c r="C30" s="8" t="s">
        <v>63</v>
      </c>
      <c r="D30" s="8" t="s">
        <v>16</v>
      </c>
      <c r="E30" s="8" t="s">
        <v>12</v>
      </c>
      <c r="F30" s="8" t="s">
        <v>13</v>
      </c>
      <c r="G30" s="8" t="s">
        <v>82</v>
      </c>
    </row>
    <row r="31" spans="1:7" ht="19.95" customHeight="1" x14ac:dyDescent="0.3">
      <c r="A31" s="3">
        <v>27</v>
      </c>
      <c r="B31" s="4" t="s">
        <v>83</v>
      </c>
      <c r="C31" s="5" t="s">
        <v>63</v>
      </c>
      <c r="D31" s="5" t="s">
        <v>16</v>
      </c>
      <c r="E31" s="5" t="s">
        <v>12</v>
      </c>
      <c r="F31" s="5" t="s">
        <v>13</v>
      </c>
      <c r="G31" s="5" t="s">
        <v>84</v>
      </c>
    </row>
    <row r="32" spans="1:7" ht="19.95" customHeight="1" x14ac:dyDescent="0.3">
      <c r="A32" s="6">
        <v>28</v>
      </c>
      <c r="B32" s="7" t="s">
        <v>85</v>
      </c>
      <c r="C32" s="8" t="s">
        <v>63</v>
      </c>
      <c r="D32" s="8" t="s">
        <v>16</v>
      </c>
      <c r="E32" s="8" t="s">
        <v>12</v>
      </c>
      <c r="F32" s="8" t="s">
        <v>13</v>
      </c>
      <c r="G32" s="8" t="s">
        <v>86</v>
      </c>
    </row>
    <row r="33" spans="1:7" ht="19.95" customHeight="1" x14ac:dyDescent="0.3">
      <c r="A33" s="3">
        <v>29</v>
      </c>
      <c r="B33" s="4" t="s">
        <v>87</v>
      </c>
      <c r="C33" s="5" t="s">
        <v>63</v>
      </c>
      <c r="D33" s="5" t="s">
        <v>16</v>
      </c>
      <c r="E33" s="5" t="s">
        <v>12</v>
      </c>
      <c r="F33" s="5" t="s">
        <v>13</v>
      </c>
      <c r="G33" s="5" t="s">
        <v>88</v>
      </c>
    </row>
    <row r="34" spans="1:7" ht="19.95" customHeight="1" x14ac:dyDescent="0.3">
      <c r="A34" s="6">
        <v>30</v>
      </c>
      <c r="B34" s="7" t="s">
        <v>89</v>
      </c>
      <c r="C34" s="8" t="s">
        <v>63</v>
      </c>
      <c r="D34" s="8" t="s">
        <v>16</v>
      </c>
      <c r="E34" s="8" t="s">
        <v>12</v>
      </c>
      <c r="F34" s="8" t="s">
        <v>13</v>
      </c>
      <c r="G34" s="8" t="s">
        <v>90</v>
      </c>
    </row>
    <row r="35" spans="1:7" ht="19.95" customHeight="1" x14ac:dyDescent="0.3">
      <c r="A35" s="3">
        <v>31</v>
      </c>
      <c r="B35" s="4" t="s">
        <v>91</v>
      </c>
      <c r="C35" s="5" t="s">
        <v>63</v>
      </c>
      <c r="D35" s="5" t="s">
        <v>16</v>
      </c>
      <c r="E35" s="5" t="s">
        <v>12</v>
      </c>
      <c r="F35" s="5" t="s">
        <v>13</v>
      </c>
      <c r="G35" s="5" t="s">
        <v>92</v>
      </c>
    </row>
    <row r="36" spans="1:7" ht="19.95" customHeight="1" x14ac:dyDescent="0.3">
      <c r="A36" s="6">
        <v>32</v>
      </c>
      <c r="B36" s="7" t="s">
        <v>93</v>
      </c>
      <c r="C36" s="8" t="s">
        <v>94</v>
      </c>
      <c r="D36" s="8" t="s">
        <v>36</v>
      </c>
      <c r="E36" s="8" t="s">
        <v>12</v>
      </c>
      <c r="F36" s="8" t="s">
        <v>55</v>
      </c>
      <c r="G36" s="8" t="s">
        <v>95</v>
      </c>
    </row>
    <row r="37" spans="1:7" ht="19.95" customHeight="1" x14ac:dyDescent="0.3">
      <c r="A37" s="3">
        <v>33</v>
      </c>
      <c r="B37" s="4" t="s">
        <v>96</v>
      </c>
      <c r="C37" s="5" t="s">
        <v>94</v>
      </c>
      <c r="D37" s="5" t="s">
        <v>36</v>
      </c>
      <c r="E37" s="5" t="s">
        <v>12</v>
      </c>
      <c r="F37" s="5" t="s">
        <v>55</v>
      </c>
      <c r="G37" s="5" t="s">
        <v>97</v>
      </c>
    </row>
    <row r="38" spans="1:7" ht="19.95" customHeight="1" x14ac:dyDescent="0.3">
      <c r="A38" s="6">
        <v>34</v>
      </c>
      <c r="B38" s="7" t="s">
        <v>98</v>
      </c>
      <c r="C38" s="8" t="s">
        <v>94</v>
      </c>
      <c r="D38" s="8" t="s">
        <v>36</v>
      </c>
      <c r="E38" s="8" t="s">
        <v>12</v>
      </c>
      <c r="F38" s="8" t="s">
        <v>55</v>
      </c>
      <c r="G38" s="8" t="s">
        <v>99</v>
      </c>
    </row>
    <row r="39" spans="1:7" ht="19.95" customHeight="1" x14ac:dyDescent="0.3">
      <c r="A39" s="3">
        <v>35</v>
      </c>
      <c r="B39" s="4" t="s">
        <v>100</v>
      </c>
      <c r="C39" s="5" t="s">
        <v>94</v>
      </c>
      <c r="D39" s="5" t="s">
        <v>36</v>
      </c>
      <c r="E39" s="5" t="s">
        <v>12</v>
      </c>
      <c r="F39" s="5" t="s">
        <v>55</v>
      </c>
      <c r="G39" s="5" t="s">
        <v>101</v>
      </c>
    </row>
    <row r="40" spans="1:7" ht="19.95" customHeight="1" x14ac:dyDescent="0.3">
      <c r="A40" s="6">
        <v>36</v>
      </c>
      <c r="B40" s="7" t="s">
        <v>102</v>
      </c>
      <c r="C40" s="8" t="s">
        <v>94</v>
      </c>
      <c r="D40" s="8" t="s">
        <v>36</v>
      </c>
      <c r="E40" s="8" t="s">
        <v>12</v>
      </c>
      <c r="F40" s="8" t="s">
        <v>55</v>
      </c>
      <c r="G40" s="8" t="s">
        <v>103</v>
      </c>
    </row>
    <row r="41" spans="1:7" ht="19.95" customHeight="1" x14ac:dyDescent="0.3">
      <c r="A41" s="3">
        <v>37</v>
      </c>
      <c r="B41" s="4" t="s">
        <v>104</v>
      </c>
      <c r="C41" s="5" t="s">
        <v>94</v>
      </c>
      <c r="D41" s="5" t="s">
        <v>36</v>
      </c>
      <c r="E41" s="5" t="s">
        <v>12</v>
      </c>
      <c r="F41" s="5" t="s">
        <v>55</v>
      </c>
      <c r="G41" s="5" t="s">
        <v>105</v>
      </c>
    </row>
    <row r="42" spans="1:7" ht="19.95" customHeight="1" x14ac:dyDescent="0.3">
      <c r="A42" s="6">
        <v>38</v>
      </c>
      <c r="B42" s="7" t="s">
        <v>106</v>
      </c>
      <c r="C42" s="8" t="s">
        <v>94</v>
      </c>
      <c r="D42" s="8" t="s">
        <v>36</v>
      </c>
      <c r="E42" s="8" t="s">
        <v>12</v>
      </c>
      <c r="F42" s="8" t="s">
        <v>55</v>
      </c>
      <c r="G42" s="8" t="s">
        <v>107</v>
      </c>
    </row>
    <row r="43" spans="1:7" ht="19.95" customHeight="1" x14ac:dyDescent="0.3">
      <c r="A43" s="3">
        <v>39</v>
      </c>
      <c r="B43" s="4" t="s">
        <v>108</v>
      </c>
      <c r="C43" s="5" t="s">
        <v>109</v>
      </c>
      <c r="D43" s="5" t="s">
        <v>16</v>
      </c>
      <c r="E43" s="5" t="s">
        <v>12</v>
      </c>
      <c r="F43" s="5" t="s">
        <v>110</v>
      </c>
      <c r="G43" s="5" t="s">
        <v>111</v>
      </c>
    </row>
    <row r="44" spans="1:7" ht="19.95" customHeight="1" x14ac:dyDescent="0.3">
      <c r="A44" s="6">
        <v>40</v>
      </c>
      <c r="B44" s="7" t="s">
        <v>112</v>
      </c>
      <c r="C44" s="8" t="s">
        <v>109</v>
      </c>
      <c r="D44" s="8" t="s">
        <v>113</v>
      </c>
      <c r="E44" s="8" t="s">
        <v>12</v>
      </c>
      <c r="F44" s="8" t="s">
        <v>110</v>
      </c>
      <c r="G44" s="8" t="s">
        <v>114</v>
      </c>
    </row>
    <row r="45" spans="1:7" ht="19.95" customHeight="1" x14ac:dyDescent="0.3">
      <c r="A45" s="3">
        <v>41</v>
      </c>
      <c r="B45" s="4" t="s">
        <v>115</v>
      </c>
      <c r="C45" s="5" t="s">
        <v>109</v>
      </c>
      <c r="D45" s="5" t="s">
        <v>116</v>
      </c>
      <c r="E45" s="5" t="s">
        <v>12</v>
      </c>
      <c r="F45" s="5" t="s">
        <v>110</v>
      </c>
      <c r="G45" s="5" t="s">
        <v>117</v>
      </c>
    </row>
    <row r="46" spans="1:7" ht="19.95" customHeight="1" x14ac:dyDescent="0.3">
      <c r="A46" s="6">
        <v>42</v>
      </c>
      <c r="B46" s="7" t="s">
        <v>118</v>
      </c>
      <c r="C46" s="8" t="s">
        <v>109</v>
      </c>
      <c r="D46" s="8" t="s">
        <v>116</v>
      </c>
      <c r="E46" s="8" t="s">
        <v>12</v>
      </c>
      <c r="F46" s="8" t="s">
        <v>110</v>
      </c>
      <c r="G46" s="8" t="s">
        <v>119</v>
      </c>
    </row>
    <row r="47" spans="1:7" ht="19.95" customHeight="1" x14ac:dyDescent="0.3">
      <c r="A47" s="3">
        <v>43</v>
      </c>
      <c r="B47" s="4" t="s">
        <v>120</v>
      </c>
      <c r="C47" s="5" t="s">
        <v>109</v>
      </c>
      <c r="D47" s="5" t="s">
        <v>116</v>
      </c>
      <c r="E47" s="5" t="s">
        <v>12</v>
      </c>
      <c r="F47" s="5" t="s">
        <v>110</v>
      </c>
      <c r="G47" s="5" t="s">
        <v>121</v>
      </c>
    </row>
    <row r="48" spans="1:7" ht="19.95" customHeight="1" x14ac:dyDescent="0.3">
      <c r="A48" s="6">
        <v>44</v>
      </c>
      <c r="B48" s="7" t="s">
        <v>122</v>
      </c>
      <c r="C48" s="8" t="s">
        <v>109</v>
      </c>
      <c r="D48" s="8" t="s">
        <v>116</v>
      </c>
      <c r="E48" s="8" t="s">
        <v>12</v>
      </c>
      <c r="F48" s="8" t="s">
        <v>110</v>
      </c>
      <c r="G48" s="8" t="s">
        <v>123</v>
      </c>
    </row>
    <row r="49" spans="1:7" ht="19.95" customHeight="1" x14ac:dyDescent="0.3">
      <c r="A49" s="3">
        <v>45</v>
      </c>
      <c r="B49" s="4" t="s">
        <v>124</v>
      </c>
      <c r="C49" s="5" t="s">
        <v>109</v>
      </c>
      <c r="D49" s="5" t="s">
        <v>116</v>
      </c>
      <c r="E49" s="5" t="s">
        <v>12</v>
      </c>
      <c r="F49" s="5" t="s">
        <v>110</v>
      </c>
      <c r="G49" s="5" t="s">
        <v>125</v>
      </c>
    </row>
    <row r="50" spans="1:7" ht="19.95" customHeight="1" x14ac:dyDescent="0.3">
      <c r="A50" s="6">
        <v>46</v>
      </c>
      <c r="B50" s="7" t="s">
        <v>126</v>
      </c>
      <c r="C50" s="8" t="s">
        <v>109</v>
      </c>
      <c r="D50" s="8" t="s">
        <v>127</v>
      </c>
      <c r="E50" s="8" t="s">
        <v>12</v>
      </c>
      <c r="F50" s="8" t="s">
        <v>110</v>
      </c>
      <c r="G50" s="8" t="s">
        <v>128</v>
      </c>
    </row>
    <row r="51" spans="1:7" ht="19.95" customHeight="1" x14ac:dyDescent="0.3">
      <c r="A51" s="3">
        <v>47</v>
      </c>
      <c r="B51" s="4" t="s">
        <v>129</v>
      </c>
      <c r="C51" s="5" t="s">
        <v>109</v>
      </c>
      <c r="D51" s="5" t="s">
        <v>58</v>
      </c>
      <c r="E51" s="5" t="s">
        <v>12</v>
      </c>
      <c r="F51" s="5" t="s">
        <v>110</v>
      </c>
      <c r="G51" s="5" t="s">
        <v>130</v>
      </c>
    </row>
    <row r="52" spans="1:7" ht="19.95" customHeight="1" x14ac:dyDescent="0.3">
      <c r="A52" s="6">
        <v>48</v>
      </c>
      <c r="B52" s="7" t="s">
        <v>131</v>
      </c>
      <c r="C52" s="8" t="s">
        <v>109</v>
      </c>
      <c r="D52" s="8" t="s">
        <v>58</v>
      </c>
      <c r="E52" s="8" t="s">
        <v>12</v>
      </c>
      <c r="F52" s="8" t="s">
        <v>110</v>
      </c>
      <c r="G52" s="8" t="s">
        <v>132</v>
      </c>
    </row>
    <row r="53" spans="1:7" ht="19.95" customHeight="1" x14ac:dyDescent="0.3">
      <c r="A53" s="3">
        <v>49</v>
      </c>
      <c r="B53" s="4" t="s">
        <v>133</v>
      </c>
      <c r="C53" s="5" t="s">
        <v>109</v>
      </c>
      <c r="D53" s="5" t="s">
        <v>58</v>
      </c>
      <c r="E53" s="5" t="s">
        <v>12</v>
      </c>
      <c r="F53" s="5" t="s">
        <v>110</v>
      </c>
      <c r="G53" s="5" t="s">
        <v>134</v>
      </c>
    </row>
    <row r="54" spans="1:7" ht="19.95" customHeight="1" x14ac:dyDescent="0.3">
      <c r="A54" s="6">
        <v>50</v>
      </c>
      <c r="B54" s="7" t="s">
        <v>135</v>
      </c>
      <c r="C54" s="8" t="s">
        <v>109</v>
      </c>
      <c r="D54" s="8" t="s">
        <v>58</v>
      </c>
      <c r="E54" s="8" t="s">
        <v>12</v>
      </c>
      <c r="F54" s="8" t="s">
        <v>110</v>
      </c>
      <c r="G54" s="8" t="s">
        <v>136</v>
      </c>
    </row>
    <row r="55" spans="1:7" ht="19.95" customHeight="1" x14ac:dyDescent="0.3">
      <c r="A55" s="3">
        <v>51</v>
      </c>
      <c r="B55" s="4" t="s">
        <v>137</v>
      </c>
      <c r="C55" s="5" t="s">
        <v>109</v>
      </c>
      <c r="D55" s="5" t="s">
        <v>58</v>
      </c>
      <c r="E55" s="5" t="s">
        <v>12</v>
      </c>
      <c r="F55" s="5" t="s">
        <v>110</v>
      </c>
      <c r="G55" s="5" t="s">
        <v>138</v>
      </c>
    </row>
    <row r="56" spans="1:7" ht="19.95" customHeight="1" x14ac:dyDescent="0.3">
      <c r="A56" s="3">
        <v>53</v>
      </c>
      <c r="B56" s="4" t="s">
        <v>139</v>
      </c>
      <c r="C56" s="5" t="s">
        <v>140</v>
      </c>
      <c r="D56" s="5" t="s">
        <v>36</v>
      </c>
      <c r="E56" s="5" t="s">
        <v>26</v>
      </c>
      <c r="F56" s="5" t="s">
        <v>141</v>
      </c>
      <c r="G56" s="5" t="s">
        <v>142</v>
      </c>
    </row>
    <row r="57" spans="1:7" ht="19.95" customHeight="1" x14ac:dyDescent="0.3">
      <c r="A57" s="6">
        <v>54</v>
      </c>
      <c r="B57" s="7" t="s">
        <v>143</v>
      </c>
      <c r="C57" s="8" t="s">
        <v>140</v>
      </c>
      <c r="D57" s="8" t="s">
        <v>36</v>
      </c>
      <c r="E57" s="8" t="s">
        <v>26</v>
      </c>
      <c r="F57" s="8" t="s">
        <v>141</v>
      </c>
      <c r="G57" s="8" t="s">
        <v>144</v>
      </c>
    </row>
    <row r="58" spans="1:7" ht="19.95" customHeight="1" x14ac:dyDescent="0.3">
      <c r="A58" s="3">
        <v>55</v>
      </c>
      <c r="B58" s="4" t="s">
        <v>145</v>
      </c>
      <c r="C58" s="5" t="s">
        <v>140</v>
      </c>
      <c r="D58" s="5" t="s">
        <v>36</v>
      </c>
      <c r="E58" s="5" t="s">
        <v>26</v>
      </c>
      <c r="F58" s="5" t="s">
        <v>141</v>
      </c>
      <c r="G58" s="5" t="s">
        <v>146</v>
      </c>
    </row>
    <row r="59" spans="1:7" ht="19.95" customHeight="1" x14ac:dyDescent="0.3">
      <c r="A59" s="6">
        <v>56</v>
      </c>
      <c r="B59" s="7" t="s">
        <v>147</v>
      </c>
      <c r="C59" s="8" t="s">
        <v>140</v>
      </c>
      <c r="D59" s="8" t="s">
        <v>36</v>
      </c>
      <c r="E59" s="8" t="s">
        <v>26</v>
      </c>
      <c r="F59" s="8" t="s">
        <v>141</v>
      </c>
      <c r="G59" s="8" t="s">
        <v>148</v>
      </c>
    </row>
    <row r="60" spans="1:7" ht="19.95" customHeight="1" x14ac:dyDescent="0.3">
      <c r="A60" s="3">
        <v>57</v>
      </c>
      <c r="B60" s="4" t="s">
        <v>149</v>
      </c>
      <c r="C60" s="5" t="s">
        <v>140</v>
      </c>
      <c r="D60" s="5" t="s">
        <v>36</v>
      </c>
      <c r="E60" s="5" t="s">
        <v>26</v>
      </c>
      <c r="F60" s="5" t="s">
        <v>141</v>
      </c>
      <c r="G60" s="5" t="s">
        <v>150</v>
      </c>
    </row>
    <row r="61" spans="1:7" ht="19.95" customHeight="1" x14ac:dyDescent="0.3">
      <c r="A61" s="6">
        <v>58</v>
      </c>
      <c r="B61" s="7" t="s">
        <v>151</v>
      </c>
      <c r="C61" s="8" t="s">
        <v>140</v>
      </c>
      <c r="D61" s="8" t="s">
        <v>36</v>
      </c>
      <c r="E61" s="8" t="s">
        <v>26</v>
      </c>
      <c r="F61" s="8" t="s">
        <v>141</v>
      </c>
      <c r="G61" s="8" t="s">
        <v>152</v>
      </c>
    </row>
    <row r="62" spans="1:7" ht="19.95" customHeight="1" x14ac:dyDescent="0.3">
      <c r="A62" s="3">
        <v>59</v>
      </c>
      <c r="B62" s="4" t="s">
        <v>153</v>
      </c>
      <c r="C62" s="5" t="s">
        <v>140</v>
      </c>
      <c r="D62" s="5" t="s">
        <v>36</v>
      </c>
      <c r="E62" s="5" t="s">
        <v>26</v>
      </c>
      <c r="F62" s="5" t="s">
        <v>141</v>
      </c>
      <c r="G62" s="5" t="s">
        <v>154</v>
      </c>
    </row>
    <row r="63" spans="1:7" ht="19.95" customHeight="1" x14ac:dyDescent="0.3">
      <c r="A63" s="6">
        <v>60</v>
      </c>
      <c r="B63" s="7" t="s">
        <v>155</v>
      </c>
      <c r="C63" s="8" t="s">
        <v>140</v>
      </c>
      <c r="D63" s="8" t="s">
        <v>36</v>
      </c>
      <c r="E63" s="8" t="s">
        <v>26</v>
      </c>
      <c r="F63" s="8" t="s">
        <v>141</v>
      </c>
      <c r="G63" s="8" t="s">
        <v>156</v>
      </c>
    </row>
    <row r="64" spans="1:7" ht="19.95" customHeight="1" x14ac:dyDescent="0.3">
      <c r="A64" s="3">
        <v>61</v>
      </c>
      <c r="B64" s="4" t="s">
        <v>157</v>
      </c>
      <c r="C64" s="5" t="s">
        <v>140</v>
      </c>
      <c r="D64" s="5" t="s">
        <v>36</v>
      </c>
      <c r="E64" s="5" t="s">
        <v>26</v>
      </c>
      <c r="F64" s="5" t="s">
        <v>141</v>
      </c>
      <c r="G64" s="5" t="s">
        <v>158</v>
      </c>
    </row>
    <row r="65" spans="1:7" ht="19.95" customHeight="1" x14ac:dyDescent="0.3">
      <c r="A65" s="6">
        <v>62</v>
      </c>
      <c r="B65" s="7" t="s">
        <v>159</v>
      </c>
      <c r="C65" s="8" t="s">
        <v>140</v>
      </c>
      <c r="D65" s="8" t="s">
        <v>36</v>
      </c>
      <c r="E65" s="8" t="s">
        <v>26</v>
      </c>
      <c r="F65" s="8" t="s">
        <v>141</v>
      </c>
      <c r="G65" s="8" t="s">
        <v>160</v>
      </c>
    </row>
    <row r="66" spans="1:7" ht="19.95" customHeight="1" x14ac:dyDescent="0.3">
      <c r="A66" s="3">
        <v>63</v>
      </c>
      <c r="B66" s="4" t="s">
        <v>161</v>
      </c>
      <c r="C66" s="5" t="s">
        <v>140</v>
      </c>
      <c r="D66" s="5" t="s">
        <v>36</v>
      </c>
      <c r="E66" s="5" t="s">
        <v>26</v>
      </c>
      <c r="F66" s="5" t="s">
        <v>141</v>
      </c>
      <c r="G66" s="5" t="s">
        <v>162</v>
      </c>
    </row>
    <row r="67" spans="1:7" ht="19.95" customHeight="1" x14ac:dyDescent="0.3">
      <c r="A67" s="6">
        <v>64</v>
      </c>
      <c r="B67" s="7" t="s">
        <v>163</v>
      </c>
      <c r="C67" s="8" t="s">
        <v>140</v>
      </c>
      <c r="D67" s="8" t="s">
        <v>36</v>
      </c>
      <c r="E67" s="8" t="s">
        <v>26</v>
      </c>
      <c r="F67" s="8" t="s">
        <v>141</v>
      </c>
      <c r="G67" s="8" t="s">
        <v>164</v>
      </c>
    </row>
    <row r="68" spans="1:7" ht="19.95" customHeight="1" x14ac:dyDescent="0.3">
      <c r="A68" s="3">
        <v>65</v>
      </c>
      <c r="B68" s="4" t="s">
        <v>165</v>
      </c>
      <c r="C68" s="5" t="s">
        <v>140</v>
      </c>
      <c r="D68" s="5" t="s">
        <v>36</v>
      </c>
      <c r="E68" s="5" t="s">
        <v>26</v>
      </c>
      <c r="F68" s="5" t="s">
        <v>141</v>
      </c>
      <c r="G68" s="5" t="s">
        <v>166</v>
      </c>
    </row>
    <row r="69" spans="1:7" ht="19.95" customHeight="1" x14ac:dyDescent="0.3">
      <c r="A69" s="6">
        <v>66</v>
      </c>
      <c r="B69" s="7" t="s">
        <v>167</v>
      </c>
      <c r="C69" s="8" t="s">
        <v>140</v>
      </c>
      <c r="D69" s="8" t="s">
        <v>36</v>
      </c>
      <c r="E69" s="8" t="s">
        <v>26</v>
      </c>
      <c r="F69" s="8" t="s">
        <v>141</v>
      </c>
      <c r="G69" s="8" t="s">
        <v>168</v>
      </c>
    </row>
    <row r="70" spans="1:7" ht="19.95" customHeight="1" x14ac:dyDescent="0.3">
      <c r="A70" s="3">
        <v>67</v>
      </c>
      <c r="B70" s="4" t="s">
        <v>169</v>
      </c>
      <c r="C70" s="5" t="s">
        <v>140</v>
      </c>
      <c r="D70" s="5" t="s">
        <v>36</v>
      </c>
      <c r="E70" s="5" t="s">
        <v>26</v>
      </c>
      <c r="F70" s="5" t="s">
        <v>141</v>
      </c>
      <c r="G70" s="5" t="s">
        <v>170</v>
      </c>
    </row>
    <row r="71" spans="1:7" ht="19.95" customHeight="1" x14ac:dyDescent="0.3">
      <c r="A71" s="6">
        <v>68</v>
      </c>
      <c r="B71" s="7" t="s">
        <v>171</v>
      </c>
      <c r="C71" s="8" t="s">
        <v>140</v>
      </c>
      <c r="D71" s="8" t="s">
        <v>36</v>
      </c>
      <c r="E71" s="8" t="s">
        <v>26</v>
      </c>
      <c r="F71" s="8" t="s">
        <v>141</v>
      </c>
      <c r="G71" s="8" t="s">
        <v>172</v>
      </c>
    </row>
    <row r="72" spans="1:7" ht="19.95" customHeight="1" x14ac:dyDescent="0.3">
      <c r="A72" s="3">
        <v>69</v>
      </c>
      <c r="B72" s="4" t="s">
        <v>173</v>
      </c>
      <c r="C72" s="5" t="s">
        <v>174</v>
      </c>
      <c r="D72" s="5" t="s">
        <v>52</v>
      </c>
      <c r="E72" s="5" t="s">
        <v>26</v>
      </c>
      <c r="F72" s="5" t="s">
        <v>175</v>
      </c>
      <c r="G72" s="5" t="s">
        <v>176</v>
      </c>
    </row>
    <row r="73" spans="1:7" ht="19.95" customHeight="1" x14ac:dyDescent="0.3">
      <c r="A73" s="6">
        <v>70</v>
      </c>
      <c r="B73" s="7" t="s">
        <v>177</v>
      </c>
      <c r="C73" s="8" t="s">
        <v>174</v>
      </c>
      <c r="D73" s="8" t="s">
        <v>52</v>
      </c>
      <c r="E73" s="8" t="s">
        <v>26</v>
      </c>
      <c r="F73" s="8" t="s">
        <v>178</v>
      </c>
      <c r="G73" s="8" t="s">
        <v>179</v>
      </c>
    </row>
  </sheetData>
  <autoFilter ref="A4:G73" xr:uid="{00000000-0009-0000-0000-000000000000}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4" x14ac:dyDescent="0.3"/>
  <cols>
    <col min="1" max="1" width="38" customWidth="1"/>
    <col min="2" max="2" width="22" customWidth="1"/>
    <col min="3" max="3" width="16" customWidth="1"/>
    <col min="4" max="4" width="25" customWidth="1"/>
    <col min="5" max="5" width="30" customWidth="1"/>
  </cols>
  <sheetData>
    <row r="1" spans="1:5" ht="28.05" customHeight="1" x14ac:dyDescent="0.3">
      <c r="A1" s="23" t="s">
        <v>180</v>
      </c>
      <c r="B1" s="22"/>
      <c r="C1" s="22"/>
      <c r="D1" s="22"/>
      <c r="E1" s="22"/>
    </row>
    <row r="2" spans="1:5" ht="18" customHeight="1" x14ac:dyDescent="0.3">
      <c r="A2" s="21" t="s">
        <v>181</v>
      </c>
      <c r="B2" s="22"/>
      <c r="C2" s="22"/>
      <c r="D2" s="22"/>
      <c r="E2" s="22"/>
    </row>
    <row r="4" spans="1:5" ht="24" customHeight="1" x14ac:dyDescent="0.3">
      <c r="A4" s="2" t="s">
        <v>182</v>
      </c>
      <c r="B4" s="1" t="s">
        <v>183</v>
      </c>
      <c r="C4" s="1" t="s">
        <v>184</v>
      </c>
      <c r="D4" s="1" t="s">
        <v>185</v>
      </c>
      <c r="E4" s="2" t="s">
        <v>7</v>
      </c>
    </row>
    <row r="5" spans="1:5" ht="19.95" customHeight="1" x14ac:dyDescent="0.3">
      <c r="A5" s="4" t="s">
        <v>10</v>
      </c>
      <c r="B5" s="9">
        <v>6</v>
      </c>
      <c r="C5" s="10">
        <f t="shared" ref="C5:C12" si="0">B5/70</f>
        <v>8.5714285714285715E-2</v>
      </c>
      <c r="D5" s="11" t="s">
        <v>186</v>
      </c>
      <c r="E5" s="5" t="s">
        <v>187</v>
      </c>
    </row>
    <row r="6" spans="1:5" ht="19.95" customHeight="1" x14ac:dyDescent="0.3">
      <c r="A6" s="7" t="s">
        <v>35</v>
      </c>
      <c r="B6" s="12">
        <v>5</v>
      </c>
      <c r="C6" s="13">
        <f t="shared" si="0"/>
        <v>7.1428571428571425E-2</v>
      </c>
      <c r="D6" s="14" t="s">
        <v>26</v>
      </c>
      <c r="E6" s="8" t="s">
        <v>37</v>
      </c>
    </row>
    <row r="7" spans="1:5" ht="19.95" customHeight="1" x14ac:dyDescent="0.3">
      <c r="A7" s="4" t="s">
        <v>49</v>
      </c>
      <c r="B7" s="9">
        <v>5</v>
      </c>
      <c r="C7" s="10">
        <f t="shared" si="0"/>
        <v>7.1428571428571425E-2</v>
      </c>
      <c r="D7" s="11" t="s">
        <v>12</v>
      </c>
      <c r="E7" s="5" t="s">
        <v>13</v>
      </c>
    </row>
    <row r="8" spans="1:5" ht="19.95" customHeight="1" x14ac:dyDescent="0.3">
      <c r="A8" s="7" t="s">
        <v>63</v>
      </c>
      <c r="B8" s="12">
        <v>15</v>
      </c>
      <c r="C8" s="13">
        <f t="shared" si="0"/>
        <v>0.21428571428571427</v>
      </c>
      <c r="D8" s="14" t="s">
        <v>12</v>
      </c>
      <c r="E8" s="8" t="s">
        <v>188</v>
      </c>
    </row>
    <row r="9" spans="1:5" ht="19.95" customHeight="1" x14ac:dyDescent="0.3">
      <c r="A9" s="4" t="s">
        <v>94</v>
      </c>
      <c r="B9" s="9">
        <v>7</v>
      </c>
      <c r="C9" s="10">
        <f t="shared" si="0"/>
        <v>0.1</v>
      </c>
      <c r="D9" s="11" t="s">
        <v>12</v>
      </c>
      <c r="E9" s="5" t="s">
        <v>55</v>
      </c>
    </row>
    <row r="10" spans="1:5" ht="19.95" customHeight="1" x14ac:dyDescent="0.3">
      <c r="A10" s="7" t="s">
        <v>109</v>
      </c>
      <c r="B10" s="12">
        <v>14</v>
      </c>
      <c r="C10" s="13">
        <f t="shared" si="0"/>
        <v>0.2</v>
      </c>
      <c r="D10" s="14" t="s">
        <v>12</v>
      </c>
      <c r="E10" s="8" t="s">
        <v>110</v>
      </c>
    </row>
    <row r="11" spans="1:5" ht="19.95" customHeight="1" x14ac:dyDescent="0.3">
      <c r="A11" s="4" t="s">
        <v>140</v>
      </c>
      <c r="B11" s="9">
        <v>16</v>
      </c>
      <c r="C11" s="10">
        <f t="shared" si="0"/>
        <v>0.22857142857142856</v>
      </c>
      <c r="D11" s="11" t="s">
        <v>26</v>
      </c>
      <c r="E11" s="5" t="s">
        <v>189</v>
      </c>
    </row>
    <row r="12" spans="1:5" ht="19.95" customHeight="1" x14ac:dyDescent="0.3">
      <c r="A12" s="7" t="s">
        <v>174</v>
      </c>
      <c r="B12" s="12">
        <v>2</v>
      </c>
      <c r="C12" s="13">
        <f t="shared" si="0"/>
        <v>2.8571428571428571E-2</v>
      </c>
      <c r="D12" s="14" t="s">
        <v>26</v>
      </c>
      <c r="E12" s="8" t="s">
        <v>190</v>
      </c>
    </row>
    <row r="13" spans="1:5" ht="22.05" customHeight="1" x14ac:dyDescent="0.3">
      <c r="A13" s="15" t="s">
        <v>191</v>
      </c>
      <c r="B13" s="16">
        <f>SUM(B5:B12)</f>
        <v>70</v>
      </c>
      <c r="C13" s="17">
        <f>SUM(C5:C12)</f>
        <v>1</v>
      </c>
      <c r="D13" s="18"/>
      <c r="E13" s="18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cols>
    <col min="1" max="1" width="32" customWidth="1"/>
    <col min="2" max="2" width="25" customWidth="1"/>
    <col min="3" max="3" width="65" customWidth="1"/>
    <col min="4" max="4" width="50" customWidth="1"/>
  </cols>
  <sheetData>
    <row r="1" spans="1:4" ht="28.05" customHeight="1" x14ac:dyDescent="0.3">
      <c r="A1" s="23" t="s">
        <v>192</v>
      </c>
      <c r="B1" s="22"/>
      <c r="C1" s="22"/>
      <c r="D1" s="22"/>
    </row>
    <row r="2" spans="1:4" ht="18" customHeight="1" x14ac:dyDescent="0.3">
      <c r="A2" s="21" t="s">
        <v>193</v>
      </c>
      <c r="B2" s="22"/>
      <c r="C2" s="22"/>
      <c r="D2" s="22"/>
    </row>
    <row r="4" spans="1:4" ht="24" customHeight="1" x14ac:dyDescent="0.3">
      <c r="A4" s="2" t="s">
        <v>194</v>
      </c>
      <c r="B4" s="2" t="s">
        <v>195</v>
      </c>
      <c r="C4" s="2" t="s">
        <v>196</v>
      </c>
      <c r="D4" s="2" t="s">
        <v>197</v>
      </c>
    </row>
    <row r="5" spans="1:4" ht="22.05" customHeight="1" x14ac:dyDescent="0.3">
      <c r="A5" s="4" t="s">
        <v>198</v>
      </c>
      <c r="B5" s="5" t="s">
        <v>199</v>
      </c>
      <c r="C5" s="19" t="s">
        <v>200</v>
      </c>
      <c r="D5" s="5" t="s">
        <v>201</v>
      </c>
    </row>
    <row r="6" spans="1:4" ht="22.05" customHeight="1" x14ac:dyDescent="0.3">
      <c r="A6" s="7" t="s">
        <v>110</v>
      </c>
      <c r="B6" s="8" t="s">
        <v>202</v>
      </c>
      <c r="C6" s="20" t="s">
        <v>203</v>
      </c>
      <c r="D6" s="8" t="s">
        <v>204</v>
      </c>
    </row>
    <row r="7" spans="1:4" ht="22.05" customHeight="1" x14ac:dyDescent="0.3">
      <c r="A7" s="4" t="s">
        <v>205</v>
      </c>
      <c r="B7" s="5" t="s">
        <v>37</v>
      </c>
      <c r="C7" s="19" t="s">
        <v>206</v>
      </c>
      <c r="D7" s="5" t="s">
        <v>207</v>
      </c>
    </row>
    <row r="8" spans="1:4" ht="22.05" customHeight="1" x14ac:dyDescent="0.3">
      <c r="A8" s="7" t="s">
        <v>208</v>
      </c>
      <c r="B8" s="8" t="s">
        <v>209</v>
      </c>
      <c r="C8" s="20" t="s">
        <v>210</v>
      </c>
      <c r="D8" s="8" t="s">
        <v>211</v>
      </c>
    </row>
    <row r="9" spans="1:4" ht="22.05" customHeight="1" x14ac:dyDescent="0.3">
      <c r="A9" s="4" t="s">
        <v>212</v>
      </c>
      <c r="B9" s="5" t="s">
        <v>213</v>
      </c>
      <c r="C9" s="19" t="s">
        <v>214</v>
      </c>
      <c r="D9" s="5" t="s">
        <v>215</v>
      </c>
    </row>
    <row r="10" spans="1:4" ht="22.05" customHeight="1" x14ac:dyDescent="0.3">
      <c r="A10" s="7" t="s">
        <v>216</v>
      </c>
      <c r="B10" s="8" t="s">
        <v>217</v>
      </c>
      <c r="C10" s="20" t="s">
        <v>218</v>
      </c>
      <c r="D10" s="8" t="s">
        <v>219</v>
      </c>
    </row>
    <row r="11" spans="1:4" ht="22.05" customHeight="1" x14ac:dyDescent="0.3">
      <c r="A11" s="4" t="s">
        <v>220</v>
      </c>
      <c r="B11" s="5" t="s">
        <v>221</v>
      </c>
      <c r="C11" s="19" t="s">
        <v>222</v>
      </c>
      <c r="D11" s="5" t="s">
        <v>223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Diccionario_Variables</vt:lpstr>
      <vt:lpstr>Resumen_Dominios</vt:lpstr>
      <vt:lpstr>Fuentes_y_Enlaces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Malaver</cp:lastModifiedBy>
  <dcterms:created xsi:type="dcterms:W3CDTF">2026-09-03T21:55:45Z</dcterms:created>
  <dcterms:modified xsi:type="dcterms:W3CDTF">2026-09-09T03:31:03Z</dcterms:modified>
</cp:coreProperties>
</file>